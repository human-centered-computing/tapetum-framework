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k Özeti" sheetId="1" r:id="rId5"/>
    <sheet state="visible" name="Hiperparametreler" sheetId="2" r:id="rId6"/>
    <sheet state="visible" name="3-Seed HPO Özeti" sheetId="3" r:id="rId7"/>
    <sheet state="visible" name="Kaynaklar ve Notlar" sheetId="4" r:id="rId8"/>
  </sheets>
  <definedNames/>
  <calcPr/>
</workbook>
</file>

<file path=xl/sharedStrings.xml><?xml version="1.0" encoding="utf-8"?>
<sst xmlns="http://schemas.openxmlformats.org/spreadsheetml/2006/main" count="256" uniqueCount="158">
  <si>
    <t>Final Confirmation – 3 Seed HPO Doğrulama Özeti</t>
  </si>
  <si>
    <t>Seçilen Hiperparametreler – Veri Kümesine Göre Karşılaştırma</t>
  </si>
  <si>
    <t>RetinexTapetum – Seçilen Hiperparametrelerin Eğitim/HPO Doğrulama ve Test Sonuçları</t>
  </si>
  <si>
    <t>Kaynak Dosyalar ve Yorumlama Notları</t>
  </si>
  <si>
    <t>Aşağıdaki değerler seçilen adayın seed={42,123,3407} ortalama±standart sapma doğrulama sonuçlarıdır.</t>
  </si>
  <si>
    <t>Veri Kümesi</t>
  </si>
  <si>
    <t>Oluşturma tarihi: 2026-08-18 (Europe/Istanbul). Train bölünmesinde kalite metrikleri hesaplanmadığı için train_loss; kalite metrikleri için HPO doğrulama sonuçları raporlanmıştır.</t>
  </si>
  <si>
    <t>Değerler final.hyperparameters ve test sırasında uygulanan HPO yapılandırma override kayıtlarıyla doğrulanmıştır.</t>
  </si>
  <si>
    <t>Kategori</t>
  </si>
  <si>
    <t>Varyant</t>
  </si>
  <si>
    <t>Tür</t>
  </si>
  <si>
    <t>Parametre</t>
  </si>
  <si>
    <t>Seçilen Aday</t>
  </si>
  <si>
    <t>Dosya</t>
  </si>
  <si>
    <t>Seedler</t>
  </si>
  <si>
    <t>LOL-v1</t>
  </si>
  <si>
    <t>PSNR Ort.</t>
  </si>
  <si>
    <t>Drive URL</t>
  </si>
  <si>
    <t>PSNR Std.</t>
  </si>
  <si>
    <t>LOL-v2 Real</t>
  </si>
  <si>
    <t>SSIM Ort.</t>
  </si>
  <si>
    <t>SSIM Std.</t>
  </si>
  <si>
    <t>Kullanım</t>
  </si>
  <si>
    <t>Seed</t>
  </si>
  <si>
    <t>LPIPS Ort.</t>
  </si>
  <si>
    <t>LOL-v2 Synthetic</t>
  </si>
  <si>
    <t>Hedef Epoch</t>
  </si>
  <si>
    <t>LPIPS Std.</t>
  </si>
  <si>
    <t>UHD-LL down4</t>
  </si>
  <si>
    <t>Tamamlanan Epoch</t>
  </si>
  <si>
    <t>Seçim Kuralı</t>
  </si>
  <si>
    <t>Ortak</t>
  </si>
  <si>
    <t>Açıklama</t>
  </si>
  <si>
    <t>Best Epoch</t>
  </si>
  <si>
    <t>Kök klasör</t>
  </si>
  <si>
    <t>HyperparameterSearch</t>
  </si>
  <si>
    <t>https://drive.google.com/drive/folders/1fUGncNTbXN42uQ1x-jVZPoiwlbZtV2dv</t>
  </si>
  <si>
    <t>Kullanıcının verdiği HPO klasörü</t>
  </si>
  <si>
    <t>Train Loss @ Best</t>
  </si>
  <si>
    <t>—</t>
  </si>
  <si>
    <t>Eğitim</t>
  </si>
  <si>
    <t>hpo_candidate_02_trial_0002_f1bfd5bf87</t>
  </si>
  <si>
    <t>42, 123, 3407</t>
  </si>
  <si>
    <t>EPOCHS</t>
  </si>
  <si>
    <t>Val Loss @ Best</t>
  </si>
  <si>
    <t>Seçim</t>
  </si>
  <si>
    <t>selected_search_params.json</t>
  </si>
  <si>
    <t>https://drive.google.com/file/d/1iQzqwojrO0ZfrrzWDgeJBeQcrVTtI7g_/view</t>
  </si>
  <si>
    <t>Seçilen aday ve hiperparametreler</t>
  </si>
  <si>
    <t>result.json</t>
  </si>
  <si>
    <t>https://drive.google.com/file/d/1tk6tDvB6aY0wcigblg0hBRwxxdEf3heQ/view</t>
  </si>
  <si>
    <t>Seed=42 best checkpoint doğrulama metrikleri</t>
  </si>
  <si>
    <t>Hedef epoch sayısı</t>
  </si>
  <si>
    <t>train.log</t>
  </si>
  <si>
    <t>https://drive.google.com/file/d/1sdYuegcd4Ugd-BwdhGqUr0uqS15AHK-p/view</t>
  </si>
  <si>
    <t>Best epoch train_loss ve val_loss</t>
  </si>
  <si>
    <t>HPO Val PSNR</t>
  </si>
  <si>
    <t>Test</t>
  </si>
  <si>
    <t>extended_metrics_summary.json</t>
  </si>
  <si>
    <t>https://drive.google.com/file/d/1CBFQ6BFc4ZMNWYnhD4zwaqHOT27uMylR/view</t>
  </si>
  <si>
    <t>Test PSNR/SSIM/LPIPS</t>
  </si>
  <si>
    <t>https://drive.google.com/file/d/1jHI9yRkH5Ib3E5KY4fHxJJ4HIaXh7uku/view</t>
  </si>
  <si>
    <t>https://drive.google.com/file/d/14Yq0erJAC_7ucX_j-fGUX7U94q2Y9PII/view</t>
  </si>
  <si>
    <t>Seed=123 best checkpoint doğrulama metrikleri</t>
  </si>
  <si>
    <t>https://drive.google.com/file/d/1BIIS1e72BUtJkbXJIa81TBYqm_oFhr91/view</t>
  </si>
  <si>
    <t>https://drive.google.com/file/d/15kFTKZetSwFqCG0KZxCHJKYKkyQLzLyf/view</t>
  </si>
  <si>
    <t>https://drive.google.com/file/d/1lUSpU1wRVTk8RhmFY6D5bz4aiXES1jus/view</t>
  </si>
  <si>
    <t>https://drive.google.com/file/d/1wFrt4w2Jk58BqvOXJV_UhZDFOBHYQT5s/view</t>
  </si>
  <si>
    <t>Seed=3407 best checkpoint doğrulama metrikleri</t>
  </si>
  <si>
    <t>https://drive.google.com/file/d/1s9koLpEOko-O1tLsnFZmI1z_YlbMuumk/view</t>
  </si>
  <si>
    <t>https://drive.google.com/file/d/1VxJzIB1p5NHHSUVDoJa5JZthwHGnlE5K/view</t>
  </si>
  <si>
    <t>https://drive.google.com/file/d/1538Sdq4AjX7G6LpB-JKHPZ0EWf0qJJYW/view</t>
  </si>
  <si>
    <t>https://drive.google.com/file/d/1e6EuLCdNsPqxow9muRRe4qL9Butj27in/view</t>
  </si>
  <si>
    <t>https://drive.google.com/file/d/1zlsKgACE_smqcvYVM4rYjy7xtfnnkXhD/view</t>
  </si>
  <si>
    <t>PSNR tol.=0.15 dB; SSIM tol.=0.002; sonra minimum mean LPIPS</t>
  </si>
  <si>
    <t>LOL-v2</t>
  </si>
  <si>
    <t>BATCH_SIZE</t>
  </si>
  <si>
    <t>Real_captured</t>
  </si>
  <si>
    <t>hpo_candidate_02_trial_0012_3df5d5c6d5</t>
  </si>
  <si>
    <t>HPO Val SSIM</t>
  </si>
  <si>
    <t>HPO Val LPIPS</t>
  </si>
  <si>
    <t>Val N</t>
  </si>
  <si>
    <t>Synthetic</t>
  </si>
  <si>
    <t>hpo_candidate_01_trial_0007_f0fca1ff96</t>
  </si>
  <si>
    <t>https://drive.google.com/file/d/1IdX_sseSOLkL1OgFHyFIowL1aqqRqRka/view</t>
  </si>
  <si>
    <t>Test N</t>
  </si>
  <si>
    <t>Kritik Not</t>
  </si>
  <si>
    <t>Train/Val ayrımı</t>
  </si>
  <si>
    <t>Train bölünmesinde train_loss loglanmıştır; PSNR/SSIM/LPIPS kalite metrikleri doğrulama bölünmesinden gelir.</t>
  </si>
  <si>
    <t>LPIPS karşılaştırması</t>
  </si>
  <si>
    <t>HPO doğrulama LPIPS değerlendirmesi resize=512 kaydıyla üretildi. Test LPIPS paper_metrics çıktısından gelir; doğrudan fark yorumu dikkatle yapılmalıdır.</t>
  </si>
  <si>
    <t>Test PSNR</t>
  </si>
  <si>
    <t>Mini-batch büyüklüğü</t>
  </si>
  <si>
    <t>Seçilen seed=123 run sonucu 119/120 epoch tamamlanmış görünür; buna rağmen best checkpoint epoch 74'tür ve testte bu checkpoint kullanılmıştır.</t>
  </si>
  <si>
    <t>source_profile_baseline</t>
  </si>
  <si>
    <t>Test SSIM</t>
  </si>
  <si>
    <t>CROP_SIZE</t>
  </si>
  <si>
    <t>Test LPIPS</t>
  </si>
  <si>
    <t>Eğitim kırpma boyutu (px)</t>
  </si>
  <si>
    <t>Δ PSNR (Test−Val)</t>
  </si>
  <si>
    <t>Model</t>
  </si>
  <si>
    <t>BASE_CHANNELS</t>
  </si>
  <si>
    <t>Δ SSIM (Test−Val)</t>
  </si>
  <si>
    <t>Temel kanal sayısı</t>
  </si>
  <si>
    <t>Optimizasyon</t>
  </si>
  <si>
    <t>Not</t>
  </si>
  <si>
    <t>LR</t>
  </si>
  <si>
    <t>Başlangıç öğrenme oranı</t>
  </si>
  <si>
    <t>MIN_LR</t>
  </si>
  <si>
    <t>Cosine schedule alt sınırı</t>
  </si>
  <si>
    <t>GRAD_CLIP_NORM</t>
  </si>
  <si>
    <t>Gradient norm clipping</t>
  </si>
  <si>
    <t>Aydınlatma</t>
  </si>
  <si>
    <t>LAMBDA_MAX</t>
  </si>
  <si>
    <t>Maksimum aydınlatma yükseltme sınırı</t>
  </si>
  <si>
    <t>Kayıp</t>
  </si>
  <si>
    <t>W_L1</t>
  </si>
  <si>
    <t>L1 kayıp ağırlığı</t>
  </si>
  <si>
    <t>W_RECON_LOW</t>
  </si>
  <si>
    <t>Düşük ışık rekonstrüksiyon ağırlığı</t>
  </si>
  <si>
    <t>W_RECON_HIGH</t>
  </si>
  <si>
    <t>Seçilen seed=42; test aynı veri kümesinin Test bölümünde yapıldı.</t>
  </si>
  <si>
    <t>Normal ışık rekonstrüksiyon ağırlığı</t>
  </si>
  <si>
    <t>W_REFLECT</t>
  </si>
  <si>
    <t>Yansıtım tutarlılığı ağırlığı</t>
  </si>
  <si>
    <t>W_SMOOTH_LOW</t>
  </si>
  <si>
    <t>Düşük ışık düzgünlük ağırlığı</t>
  </si>
  <si>
    <t>W_SMOOTH_HIGH</t>
  </si>
  <si>
    <t>Normal ışık düzgünlük ağırlığı</t>
  </si>
  <si>
    <t>W_SMOOTH_ENH</t>
  </si>
  <si>
    <t>İyileştirilmiş çıktı düzgünlük ağırlığı</t>
  </si>
  <si>
    <t>W_SSIM</t>
  </si>
  <si>
    <t>result.json 119/120 epoch tamamlandığını bildiriyor; best epoch=74.</t>
  </si>
  <si>
    <t>SSIM kayıp ağırlığı</t>
  </si>
  <si>
    <t>W_LPIPS</t>
  </si>
  <si>
    <t>LPIPS kayıp ağırlığı</t>
  </si>
  <si>
    <t>W_COLOR</t>
  </si>
  <si>
    <t>Renk tutarlılığı ağırlığı</t>
  </si>
  <si>
    <t>W_CHROMA</t>
  </si>
  <si>
    <t>Seçilen seed=3407; test aynı veri kümesinin Test bölümünde yapıldı.</t>
  </si>
  <si>
    <t>Kroma tutarlılığı ağırlığı</t>
  </si>
  <si>
    <t>W_EDGE</t>
  </si>
  <si>
    <t>Kenar koruma ağırlığı</t>
  </si>
  <si>
    <t>W_DARK_NOISE</t>
  </si>
  <si>
    <t>Karanlık bölge gürültü cezası</t>
  </si>
  <si>
    <t>W_ATTN</t>
  </si>
  <si>
    <t>Tapetum attention düzenleme ağırlığı</t>
  </si>
  <si>
    <t>Değerlendirme</t>
  </si>
  <si>
    <t>HPO_LPIPS_RESIZE</t>
  </si>
  <si>
    <t>Kaynak profil baseline seçildi; testte seed=3407 best.pth kullanıldı.</t>
  </si>
  <si>
    <t>HPO doğrulama LPIPS değerlendirme boyutu</t>
  </si>
  <si>
    <t>Tanım</t>
  </si>
  <si>
    <t>Train metriği</t>
  </si>
  <si>
    <t>Best epoch satırındaki train_loss; train PSNR/SSIM/LPIPS loglanmamıştır.</t>
  </si>
  <si>
    <t>HPO Val metriği</t>
  </si>
  <si>
    <t>Testte kullanılan aynı seed/best.pth kontrol noktasının doğrulama kümesi sonucu.</t>
  </si>
  <si>
    <t>Test metriği</t>
  </si>
  <si>
    <t>Aynı veri kümesinin bağımsız Test bölümünden PSNR/SSIM/LPIPS özeti.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</si>
</sst>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0.0000"/>
    <numFmt numFmtId="166" formatCode="0.000000000000000"/>
    <numFmt numFmtId="167" formatCode="0.000############"/>
    <numFmt numFmtId="168" formatCode="+0.000;-0.000;0.000"/>
    <numFmt numFmtId="169" formatCode="+0.0000;-0.0000;0.0000"/>
  </numFmts>
  <fonts count="6">
    <font>
      <sz val="11.0"/>
      <color rgb="FF000000"/>
      <name val="Carlito"/>
      <scheme val="minor"/>
    </font>
    <font>
      <b/>
      <sz val="15.0"/>
      <color rgb="FF111827"/>
      <name val="Carlito"/>
    </font>
    <font>
      <i/>
      <sz val="11.0"/>
      <color rgb="FF4B5563"/>
      <name val="Carlito"/>
    </font>
    <font>
      <b/>
      <sz val="11.0"/>
      <color rgb="FF111827"/>
      <name val="Carlito"/>
    </font>
    <font>
      <sz val="11.0"/>
      <color theme="1"/>
      <name val="Carlito"/>
    </font>
    <font>
      <b/>
      <sz val="11.0"/>
      <color rgb="FF92400E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DBEAFE"/>
        <bgColor rgb="FFDBEAFE"/>
      </patternFill>
    </fill>
    <fill>
      <patternFill patternType="solid">
        <fgColor rgb="FFE0F2FE"/>
        <bgColor rgb="FFE0F2FE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</fills>
  <borders count="8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0"/>
    </xf>
    <xf borderId="1" fillId="2" fontId="3" numFmtId="0" xfId="0" applyAlignment="1" applyBorder="1" applyFill="1" applyFont="1">
      <alignment shrinkToFit="0" vertical="center" wrapText="1"/>
    </xf>
    <xf borderId="2" fillId="2" fontId="3" numFmtId="0" xfId="0" applyAlignment="1" applyBorder="1" applyFont="1">
      <alignment shrinkToFit="0" vertical="center" wrapText="1"/>
    </xf>
    <xf borderId="3" fillId="2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4" fillId="0" fontId="4" numFmtId="164" xfId="0" applyAlignment="1" applyBorder="1" applyFont="1" applyNumberFormat="1">
      <alignment shrinkToFit="0" vertical="center" wrapText="1"/>
    </xf>
    <xf borderId="5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shrinkToFit="0" vertical="center" wrapText="1"/>
    </xf>
    <xf borderId="3" fillId="3" fontId="3" numFmtId="0" xfId="0" applyAlignment="1" applyBorder="1" applyFont="1">
      <alignment shrinkToFit="0" vertical="center" wrapText="1"/>
    </xf>
    <xf borderId="4" fillId="0" fontId="4" numFmtId="165" xfId="0" applyAlignment="1" applyBorder="1" applyFont="1" applyNumberForma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5" fillId="0" fontId="4" numFmtId="164" xfId="0" applyAlignment="1" applyBorder="1" applyFont="1" applyNumberFormat="1">
      <alignment shrinkToFit="0" vertical="center" wrapText="1"/>
    </xf>
    <xf borderId="2" fillId="4" fontId="3" numFmtId="0" xfId="0" applyAlignment="1" applyBorder="1" applyFont="1">
      <alignment shrinkToFit="0" vertical="center" wrapText="1"/>
    </xf>
    <xf borderId="5" fillId="0" fontId="4" numFmtId="165" xfId="0" applyAlignment="1" applyBorder="1" applyFont="1" applyNumberFormat="1">
      <alignment shrinkToFit="0" vertical="center" wrapText="1"/>
    </xf>
    <xf borderId="6" fillId="0" fontId="4" numFmtId="0" xfId="0" applyAlignment="1" applyBorder="1" applyFont="1">
      <alignment shrinkToFit="0" vertical="top" wrapText="1"/>
    </xf>
    <xf borderId="3" fillId="4" fontId="3" numFmtId="0" xfId="0" applyAlignment="1" applyBorder="1" applyFont="1">
      <alignment shrinkToFit="0" vertical="center" wrapText="1"/>
    </xf>
    <xf borderId="5" fillId="0" fontId="4" numFmtId="1" xfId="0" applyAlignment="1" applyBorder="1" applyFont="1" applyNumberFormat="1">
      <alignment shrinkToFit="0" vertical="center" wrapText="1"/>
    </xf>
    <xf borderId="1" fillId="5" fontId="3" numFmtId="0" xfId="0" applyAlignment="1" applyBorder="1" applyFill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2" fillId="5" fontId="3" numFmtId="0" xfId="0" applyAlignment="1" applyBorder="1" applyFont="1">
      <alignment shrinkToFit="0" vertical="center" wrapText="1"/>
    </xf>
    <xf borderId="6" fillId="0" fontId="4" numFmtId="164" xfId="0" applyAlignment="1" applyBorder="1" applyFont="1" applyNumberFormat="1">
      <alignment shrinkToFit="0" vertical="center" wrapText="1"/>
    </xf>
    <xf borderId="6" fillId="0" fontId="4" numFmtId="165" xfId="0" applyAlignment="1" applyBorder="1" applyFont="1" applyNumberFormat="1">
      <alignment shrinkToFit="0" vertical="center" wrapText="1"/>
    </xf>
    <xf borderId="3" fillId="5" fontId="3" numFmtId="0" xfId="0" applyAlignment="1" applyBorder="1" applyFont="1">
      <alignment shrinkToFit="0" vertical="center" wrapText="1"/>
    </xf>
    <xf borderId="1" fillId="6" fontId="3" numFmtId="0" xfId="0" applyAlignment="1" applyBorder="1" applyFill="1" applyFont="1">
      <alignment shrinkToFit="0" vertical="center" wrapText="1"/>
    </xf>
    <xf borderId="3" fillId="6" fontId="3" numFmtId="0" xfId="0" applyAlignment="1" applyBorder="1" applyFont="1">
      <alignment shrinkToFit="0" vertical="center" wrapText="1"/>
    </xf>
    <xf borderId="7" fillId="2" fontId="3" numFmtId="0" xfId="0" applyAlignment="1" applyBorder="1" applyFont="1">
      <alignment shrinkToFit="0" vertical="center" wrapText="1"/>
    </xf>
    <xf borderId="5" fillId="0" fontId="4" numFmtId="166" xfId="0" applyAlignment="1" applyBorder="1" applyFont="1" applyNumberFormat="1">
      <alignment shrinkToFit="0" vertical="center" wrapText="1"/>
    </xf>
    <xf borderId="5" fillId="0" fontId="4" numFmtId="167" xfId="0" applyAlignment="1" applyBorder="1" applyFont="1" applyNumberFormat="1">
      <alignment shrinkToFit="0" vertical="center" wrapText="1"/>
    </xf>
    <xf borderId="4" fillId="0" fontId="4" numFmtId="168" xfId="0" applyAlignment="1" applyBorder="1" applyFont="1" applyNumberFormat="1">
      <alignment shrinkToFit="0" vertical="center" wrapText="1"/>
    </xf>
    <xf borderId="4" fillId="0" fontId="4" numFmtId="169" xfId="0" applyAlignment="1" applyBorder="1" applyFont="1" applyNumberFormat="1">
      <alignment shrinkToFit="0" vertical="center" wrapText="1"/>
    </xf>
    <xf borderId="5" fillId="6" fontId="5" numFmtId="1" xfId="0" applyAlignment="1" applyBorder="1" applyFont="1" applyNumberFormat="1">
      <alignment shrinkToFit="0" vertical="center" wrapText="1"/>
    </xf>
    <xf borderId="5" fillId="0" fontId="4" numFmtId="168" xfId="0" applyAlignment="1" applyBorder="1" applyFont="1" applyNumberFormat="1">
      <alignment shrinkToFit="0" vertical="center" wrapText="1"/>
    </xf>
    <xf borderId="5" fillId="0" fontId="4" numFmtId="169" xfId="0" applyAlignment="1" applyBorder="1" applyFont="1" applyNumberFormat="1">
      <alignment shrinkToFit="0" vertical="center" wrapText="1"/>
    </xf>
    <xf borderId="6" fillId="0" fontId="4" numFmtId="1" xfId="0" applyAlignment="1" applyBorder="1" applyFont="1" applyNumberFormat="1">
      <alignment shrinkToFit="0" vertical="center" wrapText="1"/>
    </xf>
    <xf borderId="6" fillId="0" fontId="4" numFmtId="168" xfId="0" applyAlignment="1" applyBorder="1" applyFont="1" applyNumberFormat="1">
      <alignment shrinkToFit="0" vertical="center" wrapText="1"/>
    </xf>
    <xf borderId="6" fillId="0" fontId="4" numFmtId="16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80.0"/>
    <col customWidth="1" min="3" max="3" width="38.0"/>
    <col customWidth="1" min="4" max="7" width="12.0"/>
    <col customWidth="1" min="8" max="9" width="15.0"/>
    <col customWidth="1" min="10" max="17" width="14.0"/>
    <col customWidth="1" min="18" max="19" width="16.0"/>
    <col customWidth="1" min="20" max="20" width="44.0"/>
    <col customWidth="1" min="21" max="26" width="8.63"/>
  </cols>
  <sheetData>
    <row r="1">
      <c r="A1" s="1" t="s">
        <v>2</v>
      </c>
    </row>
    <row r="2" ht="21.75" customHeight="1">
      <c r="A2" s="2" t="s">
        <v>6</v>
      </c>
    </row>
    <row r="4" ht="42.0" customHeight="1">
      <c r="A4" s="3" t="s">
        <v>5</v>
      </c>
      <c r="B4" s="4" t="s">
        <v>9</v>
      </c>
      <c r="C4" s="4" t="s">
        <v>12</v>
      </c>
      <c r="D4" s="4" t="s">
        <v>23</v>
      </c>
      <c r="E4" s="4" t="s">
        <v>26</v>
      </c>
      <c r="F4" s="4" t="s">
        <v>29</v>
      </c>
      <c r="G4" s="5" t="s">
        <v>33</v>
      </c>
      <c r="H4" s="8" t="s">
        <v>38</v>
      </c>
      <c r="I4" s="12" t="s">
        <v>44</v>
      </c>
      <c r="J4" s="15" t="s">
        <v>56</v>
      </c>
      <c r="K4" s="17" t="s">
        <v>79</v>
      </c>
      <c r="L4" s="17" t="s">
        <v>80</v>
      </c>
      <c r="M4" s="20" t="s">
        <v>81</v>
      </c>
      <c r="N4" s="22" t="s">
        <v>85</v>
      </c>
      <c r="O4" s="24" t="s">
        <v>91</v>
      </c>
      <c r="P4" s="24" t="s">
        <v>95</v>
      </c>
      <c r="Q4" s="27" t="s">
        <v>97</v>
      </c>
      <c r="R4" s="28" t="s">
        <v>99</v>
      </c>
      <c r="S4" s="29" t="s">
        <v>102</v>
      </c>
      <c r="T4" s="30" t="s">
        <v>105</v>
      </c>
    </row>
    <row r="5" ht="48.0" customHeight="1">
      <c r="A5" s="7" t="s">
        <v>15</v>
      </c>
      <c r="B5" s="7" t="s">
        <v>39</v>
      </c>
      <c r="C5" s="7" t="s">
        <v>41</v>
      </c>
      <c r="D5" s="11">
        <v>42.0</v>
      </c>
      <c r="E5" s="11">
        <v>120.0</v>
      </c>
      <c r="F5" s="11">
        <v>120.0</v>
      </c>
      <c r="G5" s="11">
        <v>88.0</v>
      </c>
      <c r="H5" s="13">
        <v>0.2779</v>
      </c>
      <c r="I5" s="13">
        <v>0.2713</v>
      </c>
      <c r="J5" s="9">
        <v>22.009026048499702</v>
      </c>
      <c r="K5" s="13">
        <v>0.8681432579954466</v>
      </c>
      <c r="L5" s="13">
        <v>0.11854713984454672</v>
      </c>
      <c r="M5" s="11">
        <v>48.0</v>
      </c>
      <c r="N5" s="11">
        <v>15.0</v>
      </c>
      <c r="O5" s="9">
        <v>21.03918920290721</v>
      </c>
      <c r="P5" s="13">
        <v>0.8316066821416219</v>
      </c>
      <c r="Q5" s="13">
        <v>0.13574021756649018</v>
      </c>
      <c r="R5" s="33">
        <f t="shared" ref="R5:S5" si="1">O5-J5</f>
        <v>-0.9698368456</v>
      </c>
      <c r="S5" s="34">
        <f t="shared" si="1"/>
        <v>-0.03653657585</v>
      </c>
      <c r="T5" s="7" t="s">
        <v>121</v>
      </c>
    </row>
    <row r="6" ht="48.0" customHeight="1">
      <c r="A6" s="14" t="s">
        <v>75</v>
      </c>
      <c r="B6" s="14" t="s">
        <v>77</v>
      </c>
      <c r="C6" s="14" t="s">
        <v>78</v>
      </c>
      <c r="D6" s="21">
        <v>123.0</v>
      </c>
      <c r="E6" s="21">
        <v>120.0</v>
      </c>
      <c r="F6" s="35">
        <v>119.0</v>
      </c>
      <c r="G6" s="21">
        <v>74.0</v>
      </c>
      <c r="H6" s="18">
        <v>0.2819</v>
      </c>
      <c r="I6" s="18">
        <v>0.2864</v>
      </c>
      <c r="J6" s="16">
        <v>21.597631205454245</v>
      </c>
      <c r="K6" s="18">
        <v>0.8317820282949917</v>
      </c>
      <c r="L6" s="18">
        <v>0.15322812533249025</v>
      </c>
      <c r="M6" s="21">
        <v>69.0</v>
      </c>
      <c r="N6" s="21">
        <v>100.0</v>
      </c>
      <c r="O6" s="16">
        <v>20.018981209603496</v>
      </c>
      <c r="P6" s="18">
        <v>0.8405284833908081</v>
      </c>
      <c r="Q6" s="18">
        <v>0.1257737142778933</v>
      </c>
      <c r="R6" s="36">
        <f t="shared" ref="R6:S6" si="2">O6-J6</f>
        <v>-1.578649996</v>
      </c>
      <c r="S6" s="37">
        <f t="shared" si="2"/>
        <v>0.008746455096</v>
      </c>
      <c r="T6" s="14" t="s">
        <v>132</v>
      </c>
    </row>
    <row r="7" ht="48.0" customHeight="1">
      <c r="A7" s="14" t="s">
        <v>75</v>
      </c>
      <c r="B7" s="14" t="s">
        <v>82</v>
      </c>
      <c r="C7" s="14" t="s">
        <v>83</v>
      </c>
      <c r="D7" s="21">
        <v>3407.0</v>
      </c>
      <c r="E7" s="21">
        <v>120.0</v>
      </c>
      <c r="F7" s="21">
        <v>120.0</v>
      </c>
      <c r="G7" s="21">
        <v>111.0</v>
      </c>
      <c r="H7" s="18">
        <v>0.178</v>
      </c>
      <c r="I7" s="18">
        <v>0.1809</v>
      </c>
      <c r="J7" s="16">
        <v>25.116734486578483</v>
      </c>
      <c r="K7" s="18">
        <v>0.9375070790449779</v>
      </c>
      <c r="L7" s="18">
        <v>0.053822952250225674</v>
      </c>
      <c r="M7" s="21">
        <v>90.0</v>
      </c>
      <c r="N7" s="21">
        <v>100.0</v>
      </c>
      <c r="O7" s="16">
        <v>25.052991687156833</v>
      </c>
      <c r="P7" s="18">
        <v>0.9321622723340988</v>
      </c>
      <c r="Q7" s="18">
        <v>0.05768414651975036</v>
      </c>
      <c r="R7" s="36">
        <f t="shared" ref="R7:S7" si="3">O7-J7</f>
        <v>-0.06374279942</v>
      </c>
      <c r="S7" s="37">
        <f t="shared" si="3"/>
        <v>-0.005344806711</v>
      </c>
      <c r="T7" s="14" t="s">
        <v>139</v>
      </c>
    </row>
    <row r="8" ht="48.0" customHeight="1">
      <c r="A8" s="23" t="s">
        <v>28</v>
      </c>
      <c r="B8" s="23" t="s">
        <v>39</v>
      </c>
      <c r="C8" s="23" t="s">
        <v>94</v>
      </c>
      <c r="D8" s="38">
        <v>3407.0</v>
      </c>
      <c r="E8" s="38">
        <v>120.0</v>
      </c>
      <c r="F8" s="38">
        <v>120.0</v>
      </c>
      <c r="G8" s="38">
        <v>96.0</v>
      </c>
      <c r="H8" s="26">
        <v>0.1587</v>
      </c>
      <c r="I8" s="26">
        <v>0.1554</v>
      </c>
      <c r="J8" s="25">
        <v>27.259265716363796</v>
      </c>
      <c r="K8" s="26">
        <v>0.9281172197440575</v>
      </c>
      <c r="L8" s="26">
        <v>0.06522377095474251</v>
      </c>
      <c r="M8" s="38">
        <v>116.0</v>
      </c>
      <c r="N8" s="38">
        <v>150.0</v>
      </c>
      <c r="O8" s="25">
        <v>24.71073472916947</v>
      </c>
      <c r="P8" s="26">
        <v>0.911466627518336</v>
      </c>
      <c r="Q8" s="26">
        <v>0.0884359505896767</v>
      </c>
      <c r="R8" s="39">
        <f t="shared" ref="R8:S8" si="4">O8-J8</f>
        <v>-2.548530987</v>
      </c>
      <c r="S8" s="40">
        <f t="shared" si="4"/>
        <v>-0.01665059223</v>
      </c>
      <c r="T8" s="23" t="s">
        <v>149</v>
      </c>
    </row>
    <row r="10">
      <c r="A10" s="3" t="s">
        <v>151</v>
      </c>
      <c r="B10" s="5" t="s">
        <v>32</v>
      </c>
    </row>
    <row r="11">
      <c r="A11" s="6" t="s">
        <v>152</v>
      </c>
      <c r="B11" s="6" t="s">
        <v>153</v>
      </c>
    </row>
    <row r="12">
      <c r="A12" s="10" t="s">
        <v>154</v>
      </c>
      <c r="B12" s="10" t="s">
        <v>155</v>
      </c>
    </row>
    <row r="13">
      <c r="A13" s="19" t="s">
        <v>156</v>
      </c>
      <c r="B13" s="19" t="s">
        <v>157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3.0"/>
    <col customWidth="1" min="3" max="6" width="19.0"/>
    <col customWidth="1" min="7" max="7" width="46.0"/>
    <col customWidth="1" min="8" max="26" width="8.63"/>
  </cols>
  <sheetData>
    <row r="1">
      <c r="A1" s="1" t="s">
        <v>1</v>
      </c>
    </row>
    <row r="2" ht="21.75" customHeight="1">
      <c r="A2" s="2" t="s">
        <v>7</v>
      </c>
    </row>
    <row r="4" ht="31.5" customHeight="1">
      <c r="A4" s="3" t="s">
        <v>8</v>
      </c>
      <c r="B4" s="4" t="s">
        <v>11</v>
      </c>
      <c r="C4" s="4" t="s">
        <v>15</v>
      </c>
      <c r="D4" s="4" t="s">
        <v>19</v>
      </c>
      <c r="E4" s="4" t="s">
        <v>25</v>
      </c>
      <c r="F4" s="4" t="s">
        <v>28</v>
      </c>
      <c r="G4" s="5" t="s">
        <v>32</v>
      </c>
    </row>
    <row r="5" ht="24.75" customHeight="1">
      <c r="A5" s="7" t="s">
        <v>40</v>
      </c>
      <c r="B5" s="7" t="s">
        <v>43</v>
      </c>
      <c r="C5" s="11">
        <v>120.0</v>
      </c>
      <c r="D5" s="11">
        <v>120.0</v>
      </c>
      <c r="E5" s="11">
        <v>120.0</v>
      </c>
      <c r="F5" s="11">
        <v>120.0</v>
      </c>
      <c r="G5" s="7" t="s">
        <v>52</v>
      </c>
    </row>
    <row r="6" ht="24.75" customHeight="1">
      <c r="A6" s="14" t="s">
        <v>40</v>
      </c>
      <c r="B6" s="14" t="s">
        <v>76</v>
      </c>
      <c r="C6" s="21">
        <v>2.0</v>
      </c>
      <c r="D6" s="21">
        <v>2.0</v>
      </c>
      <c r="E6" s="21">
        <v>2.0</v>
      </c>
      <c r="F6" s="21">
        <v>2.0</v>
      </c>
      <c r="G6" s="14" t="s">
        <v>92</v>
      </c>
    </row>
    <row r="7" ht="24.75" customHeight="1">
      <c r="A7" s="14" t="s">
        <v>40</v>
      </c>
      <c r="B7" s="14" t="s">
        <v>96</v>
      </c>
      <c r="C7" s="21">
        <v>256.0</v>
      </c>
      <c r="D7" s="21">
        <v>256.0</v>
      </c>
      <c r="E7" s="21">
        <v>256.0</v>
      </c>
      <c r="F7" s="21">
        <v>256.0</v>
      </c>
      <c r="G7" s="14" t="s">
        <v>98</v>
      </c>
    </row>
    <row r="8" ht="24.75" customHeight="1">
      <c r="A8" s="14" t="s">
        <v>100</v>
      </c>
      <c r="B8" s="14" t="s">
        <v>101</v>
      </c>
      <c r="C8" s="21">
        <v>128.0</v>
      </c>
      <c r="D8" s="21">
        <v>128.0</v>
      </c>
      <c r="E8" s="21">
        <v>128.0</v>
      </c>
      <c r="F8" s="21">
        <v>128.0</v>
      </c>
      <c r="G8" s="14" t="s">
        <v>103</v>
      </c>
    </row>
    <row r="9" ht="24.75" customHeight="1">
      <c r="A9" s="14" t="s">
        <v>104</v>
      </c>
      <c r="B9" s="14" t="s">
        <v>106</v>
      </c>
      <c r="C9" s="31">
        <v>6.906348306112025E-4</v>
      </c>
      <c r="D9" s="31">
        <v>6.620890956705852E-4</v>
      </c>
      <c r="E9" s="31">
        <v>6.991561452271401E-4</v>
      </c>
      <c r="F9" s="31">
        <v>4.6948014087030786E-4</v>
      </c>
      <c r="G9" s="14" t="s">
        <v>107</v>
      </c>
    </row>
    <row r="10" ht="24.75" customHeight="1">
      <c r="A10" s="14" t="s">
        <v>104</v>
      </c>
      <c r="B10" s="14" t="s">
        <v>108</v>
      </c>
      <c r="C10" s="31">
        <v>1.4628463833389233E-5</v>
      </c>
      <c r="D10" s="31">
        <v>4.082960740748955E-5</v>
      </c>
      <c r="E10" s="31">
        <v>5.0237973942179794E-5</v>
      </c>
      <c r="F10" s="31">
        <v>2.12826357198832E-5</v>
      </c>
      <c r="G10" s="14" t="s">
        <v>109</v>
      </c>
    </row>
    <row r="11" ht="24.75" customHeight="1">
      <c r="A11" s="14" t="s">
        <v>104</v>
      </c>
      <c r="B11" s="14" t="s">
        <v>110</v>
      </c>
      <c r="C11" s="21">
        <v>3.0</v>
      </c>
      <c r="D11" s="21">
        <v>3.0</v>
      </c>
      <c r="E11" s="21">
        <v>8.0</v>
      </c>
      <c r="F11" s="21">
        <v>3.0</v>
      </c>
      <c r="G11" s="14" t="s">
        <v>111</v>
      </c>
    </row>
    <row r="12" ht="24.75" customHeight="1">
      <c r="A12" s="14" t="s">
        <v>112</v>
      </c>
      <c r="B12" s="14" t="s">
        <v>113</v>
      </c>
      <c r="C12" s="32">
        <v>1.8</v>
      </c>
      <c r="D12" s="32">
        <v>2.0</v>
      </c>
      <c r="E12" s="32">
        <v>1.3</v>
      </c>
      <c r="F12" s="32">
        <v>1.35</v>
      </c>
      <c r="G12" s="14" t="s">
        <v>114</v>
      </c>
    </row>
    <row r="13" ht="24.75" customHeight="1">
      <c r="A13" s="14" t="s">
        <v>115</v>
      </c>
      <c r="B13" s="14" t="s">
        <v>116</v>
      </c>
      <c r="C13" s="32">
        <v>1.0</v>
      </c>
      <c r="D13" s="32">
        <v>1.0</v>
      </c>
      <c r="E13" s="32">
        <v>1.0</v>
      </c>
      <c r="F13" s="32">
        <v>1.0</v>
      </c>
      <c r="G13" s="14" t="s">
        <v>117</v>
      </c>
    </row>
    <row r="14" ht="24.75" customHeight="1">
      <c r="A14" s="14" t="s">
        <v>115</v>
      </c>
      <c r="B14" s="14" t="s">
        <v>118</v>
      </c>
      <c r="C14" s="32">
        <v>1.0</v>
      </c>
      <c r="D14" s="32">
        <v>1.0</v>
      </c>
      <c r="E14" s="32">
        <v>1.0</v>
      </c>
      <c r="F14" s="32">
        <v>1.0</v>
      </c>
      <c r="G14" s="14" t="s">
        <v>119</v>
      </c>
    </row>
    <row r="15" ht="24.75" customHeight="1">
      <c r="A15" s="14" t="s">
        <v>115</v>
      </c>
      <c r="B15" s="14" t="s">
        <v>120</v>
      </c>
      <c r="C15" s="32">
        <v>0.85</v>
      </c>
      <c r="D15" s="32">
        <v>0.85</v>
      </c>
      <c r="E15" s="32">
        <v>0.85</v>
      </c>
      <c r="F15" s="32">
        <v>0.85</v>
      </c>
      <c r="G15" s="14" t="s">
        <v>122</v>
      </c>
    </row>
    <row r="16" ht="24.75" customHeight="1">
      <c r="A16" s="14" t="s">
        <v>115</v>
      </c>
      <c r="B16" s="14" t="s">
        <v>123</v>
      </c>
      <c r="C16" s="32">
        <v>0.06</v>
      </c>
      <c r="D16" s="32">
        <v>0.06</v>
      </c>
      <c r="E16" s="32">
        <v>0.06</v>
      </c>
      <c r="F16" s="32">
        <v>0.06</v>
      </c>
      <c r="G16" s="14" t="s">
        <v>124</v>
      </c>
    </row>
    <row r="17" ht="24.75" customHeight="1">
      <c r="A17" s="14" t="s">
        <v>115</v>
      </c>
      <c r="B17" s="14" t="s">
        <v>125</v>
      </c>
      <c r="C17" s="32">
        <v>0.08</v>
      </c>
      <c r="D17" s="32">
        <v>0.08</v>
      </c>
      <c r="E17" s="32">
        <v>0.08</v>
      </c>
      <c r="F17" s="32">
        <v>0.08</v>
      </c>
      <c r="G17" s="14" t="s">
        <v>126</v>
      </c>
    </row>
    <row r="18" ht="24.75" customHeight="1">
      <c r="A18" s="14" t="s">
        <v>115</v>
      </c>
      <c r="B18" s="14" t="s">
        <v>127</v>
      </c>
      <c r="C18" s="32">
        <v>0.08</v>
      </c>
      <c r="D18" s="32">
        <v>0.08</v>
      </c>
      <c r="E18" s="32">
        <v>0.08</v>
      </c>
      <c r="F18" s="32">
        <v>0.08</v>
      </c>
      <c r="G18" s="14" t="s">
        <v>128</v>
      </c>
    </row>
    <row r="19" ht="24.75" customHeight="1">
      <c r="A19" s="14" t="s">
        <v>115</v>
      </c>
      <c r="B19" s="14" t="s">
        <v>129</v>
      </c>
      <c r="C19" s="32">
        <v>0.06</v>
      </c>
      <c r="D19" s="32">
        <v>0.06</v>
      </c>
      <c r="E19" s="32">
        <v>0.06</v>
      </c>
      <c r="F19" s="32">
        <v>0.06</v>
      </c>
      <c r="G19" s="14" t="s">
        <v>130</v>
      </c>
    </row>
    <row r="20" ht="24.75" customHeight="1">
      <c r="A20" s="14" t="s">
        <v>115</v>
      </c>
      <c r="B20" s="14" t="s">
        <v>131</v>
      </c>
      <c r="C20" s="32">
        <v>0.5</v>
      </c>
      <c r="D20" s="32">
        <v>0.45</v>
      </c>
      <c r="E20" s="32">
        <v>0.65</v>
      </c>
      <c r="F20" s="32">
        <v>0.35</v>
      </c>
      <c r="G20" s="14" t="s">
        <v>133</v>
      </c>
    </row>
    <row r="21" ht="24.75" customHeight="1">
      <c r="A21" s="14" t="s">
        <v>115</v>
      </c>
      <c r="B21" s="14" t="s">
        <v>134</v>
      </c>
      <c r="C21" s="32">
        <v>0.1</v>
      </c>
      <c r="D21" s="32">
        <v>0.12</v>
      </c>
      <c r="E21" s="32">
        <v>0.08</v>
      </c>
      <c r="F21" s="32">
        <v>0.08</v>
      </c>
      <c r="G21" s="14" t="s">
        <v>135</v>
      </c>
    </row>
    <row r="22" ht="24.75" customHeight="1">
      <c r="A22" s="14" t="s">
        <v>115</v>
      </c>
      <c r="B22" s="14" t="s">
        <v>136</v>
      </c>
      <c r="C22" s="32">
        <v>0.04</v>
      </c>
      <c r="D22" s="32">
        <v>0.02</v>
      </c>
      <c r="E22" s="32">
        <v>0.14</v>
      </c>
      <c r="F22" s="32">
        <v>0.06</v>
      </c>
      <c r="G22" s="14" t="s">
        <v>137</v>
      </c>
    </row>
    <row r="23" ht="24.75" customHeight="1">
      <c r="A23" s="14" t="s">
        <v>115</v>
      </c>
      <c r="B23" s="14" t="s">
        <v>138</v>
      </c>
      <c r="C23" s="32">
        <v>0.04</v>
      </c>
      <c r="D23" s="32">
        <v>0.14</v>
      </c>
      <c r="E23" s="32">
        <v>0.12</v>
      </c>
      <c r="F23" s="32">
        <v>0.12</v>
      </c>
      <c r="G23" s="14" t="s">
        <v>140</v>
      </c>
    </row>
    <row r="24" ht="24.75" customHeight="1">
      <c r="A24" s="14" t="s">
        <v>115</v>
      </c>
      <c r="B24" s="14" t="s">
        <v>141</v>
      </c>
      <c r="C24" s="32">
        <v>0.07</v>
      </c>
      <c r="D24" s="32">
        <v>0.02</v>
      </c>
      <c r="E24" s="32">
        <v>0.0</v>
      </c>
      <c r="F24" s="32">
        <v>0.04</v>
      </c>
      <c r="G24" s="14" t="s">
        <v>142</v>
      </c>
    </row>
    <row r="25" ht="24.75" customHeight="1">
      <c r="A25" s="14" t="s">
        <v>115</v>
      </c>
      <c r="B25" s="14" t="s">
        <v>143</v>
      </c>
      <c r="C25" s="32">
        <v>0.03</v>
      </c>
      <c r="D25" s="32">
        <v>0.01</v>
      </c>
      <c r="E25" s="32">
        <v>0.05</v>
      </c>
      <c r="F25" s="32">
        <v>0.01</v>
      </c>
      <c r="G25" s="14" t="s">
        <v>144</v>
      </c>
    </row>
    <row r="26" ht="24.75" customHeight="1">
      <c r="A26" s="14" t="s">
        <v>115</v>
      </c>
      <c r="B26" s="14" t="s">
        <v>145</v>
      </c>
      <c r="C26" s="32">
        <v>0.009</v>
      </c>
      <c r="D26" s="32">
        <v>0.01</v>
      </c>
      <c r="E26" s="32">
        <v>0.007</v>
      </c>
      <c r="F26" s="32">
        <v>0.012</v>
      </c>
      <c r="G26" s="14" t="s">
        <v>146</v>
      </c>
    </row>
    <row r="27" ht="24.75" customHeight="1">
      <c r="A27" s="23" t="s">
        <v>147</v>
      </c>
      <c r="B27" s="23" t="s">
        <v>148</v>
      </c>
      <c r="C27" s="38">
        <v>512.0</v>
      </c>
      <c r="D27" s="38">
        <v>512.0</v>
      </c>
      <c r="E27" s="38">
        <v>512.0</v>
      </c>
      <c r="F27" s="38">
        <v>512.0</v>
      </c>
      <c r="G27" s="23" t="s">
        <v>150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40.0"/>
    <col customWidth="1" min="4" max="4" width="18.0"/>
    <col customWidth="1" min="5" max="10" width="14.0"/>
    <col customWidth="1" min="11" max="11" width="42.0"/>
    <col customWidth="1" min="12" max="26" width="8.63"/>
  </cols>
  <sheetData>
    <row r="1">
      <c r="A1" s="1" t="s">
        <v>0</v>
      </c>
    </row>
    <row r="2" ht="21.75" customHeight="1">
      <c r="A2" s="2" t="s">
        <v>4</v>
      </c>
    </row>
    <row r="4" ht="33.75" customHeight="1">
      <c r="A4" s="3" t="s">
        <v>5</v>
      </c>
      <c r="B4" s="4" t="s">
        <v>9</v>
      </c>
      <c r="C4" s="4" t="s">
        <v>12</v>
      </c>
      <c r="D4" s="4" t="s">
        <v>14</v>
      </c>
      <c r="E4" s="4" t="s">
        <v>16</v>
      </c>
      <c r="F4" s="4" t="s">
        <v>18</v>
      </c>
      <c r="G4" s="4" t="s">
        <v>20</v>
      </c>
      <c r="H4" s="4" t="s">
        <v>21</v>
      </c>
      <c r="I4" s="4" t="s">
        <v>24</v>
      </c>
      <c r="J4" s="4" t="s">
        <v>27</v>
      </c>
      <c r="K4" s="5" t="s">
        <v>30</v>
      </c>
    </row>
    <row r="5" ht="43.5" customHeight="1">
      <c r="A5" s="7" t="s">
        <v>15</v>
      </c>
      <c r="B5" s="7" t="s">
        <v>39</v>
      </c>
      <c r="C5" s="7" t="s">
        <v>41</v>
      </c>
      <c r="D5" s="7" t="s">
        <v>42</v>
      </c>
      <c r="E5" s="9">
        <v>21.90742351139461</v>
      </c>
      <c r="F5" s="9">
        <v>0.07729875583646746</v>
      </c>
      <c r="G5" s="13">
        <v>0.8652237322595385</v>
      </c>
      <c r="H5" s="13">
        <v>0.0022182341306913613</v>
      </c>
      <c r="I5" s="13">
        <v>0.12557528276617327</v>
      </c>
      <c r="J5" s="13">
        <v>0.00549731751365604</v>
      </c>
      <c r="K5" s="7" t="s">
        <v>74</v>
      </c>
    </row>
    <row r="6" ht="43.5" customHeight="1">
      <c r="A6" s="14" t="s">
        <v>75</v>
      </c>
      <c r="B6" s="14" t="s">
        <v>77</v>
      </c>
      <c r="C6" s="14" t="s">
        <v>78</v>
      </c>
      <c r="D6" s="14" t="s">
        <v>42</v>
      </c>
      <c r="E6" s="16">
        <v>21.57591856243353</v>
      </c>
      <c r="F6" s="16">
        <v>0.037300544902217084</v>
      </c>
      <c r="G6" s="18">
        <v>0.831708858842435</v>
      </c>
      <c r="H6" s="18">
        <v>3.7851318141558804E-4</v>
      </c>
      <c r="I6" s="18">
        <v>0.16148713177097015</v>
      </c>
      <c r="J6" s="18">
        <v>0.00587851372583676</v>
      </c>
      <c r="K6" s="14" t="s">
        <v>74</v>
      </c>
    </row>
    <row r="7" ht="43.5" customHeight="1">
      <c r="A7" s="14" t="s">
        <v>75</v>
      </c>
      <c r="B7" s="14" t="s">
        <v>82</v>
      </c>
      <c r="C7" s="14" t="s">
        <v>83</v>
      </c>
      <c r="D7" s="14" t="s">
        <v>42</v>
      </c>
      <c r="E7" s="16">
        <v>25.172554683003657</v>
      </c>
      <c r="F7" s="16">
        <v>0.044898130941578476</v>
      </c>
      <c r="G7" s="18">
        <v>0.935727063373283</v>
      </c>
      <c r="H7" s="18">
        <v>0.001377465537124756</v>
      </c>
      <c r="I7" s="18">
        <v>0.05541115168964974</v>
      </c>
      <c r="J7" s="18">
        <v>0.0011442719296343197</v>
      </c>
      <c r="K7" s="14" t="s">
        <v>74</v>
      </c>
    </row>
    <row r="8" ht="43.5" customHeight="1">
      <c r="A8" s="23" t="s">
        <v>28</v>
      </c>
      <c r="B8" s="23" t="s">
        <v>39</v>
      </c>
      <c r="C8" s="23" t="s">
        <v>94</v>
      </c>
      <c r="D8" s="23" t="s">
        <v>42</v>
      </c>
      <c r="E8" s="25">
        <v>27.03537689566153</v>
      </c>
      <c r="F8" s="25">
        <v>0.17792951991058603</v>
      </c>
      <c r="G8" s="26">
        <v>0.9262932847286093</v>
      </c>
      <c r="H8" s="26">
        <v>0.0021313532810240273</v>
      </c>
      <c r="I8" s="26">
        <v>0.06698321734405198</v>
      </c>
      <c r="J8" s="26">
        <v>0.0026888193613546535</v>
      </c>
      <c r="K8" s="23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05.0"/>
    <col customWidth="1" min="3" max="3" width="31.0"/>
    <col customWidth="1" min="4" max="4" width="72.0"/>
    <col customWidth="1" min="5" max="5" width="46.0"/>
    <col customWidth="1" min="6" max="26" width="8.63"/>
  </cols>
  <sheetData>
    <row r="1">
      <c r="A1" s="1" t="s">
        <v>3</v>
      </c>
    </row>
    <row r="3">
      <c r="A3" s="3" t="s">
        <v>5</v>
      </c>
      <c r="B3" s="4" t="s">
        <v>10</v>
      </c>
      <c r="C3" s="4" t="s">
        <v>13</v>
      </c>
      <c r="D3" s="4" t="s">
        <v>17</v>
      </c>
      <c r="E3" s="5" t="s">
        <v>22</v>
      </c>
    </row>
    <row r="4" ht="33.75" customHeight="1">
      <c r="A4" s="6" t="s">
        <v>31</v>
      </c>
      <c r="B4" s="6" t="s">
        <v>34</v>
      </c>
      <c r="C4" s="6" t="s">
        <v>35</v>
      </c>
      <c r="D4" s="6" t="s">
        <v>36</v>
      </c>
      <c r="E4" s="6" t="s">
        <v>37</v>
      </c>
    </row>
    <row r="5" ht="33.75" customHeight="1">
      <c r="A5" s="10" t="s">
        <v>15</v>
      </c>
      <c r="B5" s="10" t="s">
        <v>45</v>
      </c>
      <c r="C5" s="10" t="s">
        <v>46</v>
      </c>
      <c r="D5" s="10" t="s">
        <v>47</v>
      </c>
      <c r="E5" s="10" t="s">
        <v>48</v>
      </c>
    </row>
    <row r="6" ht="33.75" customHeight="1">
      <c r="A6" s="10" t="s">
        <v>15</v>
      </c>
      <c r="B6" s="10" t="s">
        <v>40</v>
      </c>
      <c r="C6" s="10" t="s">
        <v>49</v>
      </c>
      <c r="D6" s="10" t="s">
        <v>50</v>
      </c>
      <c r="E6" s="10" t="s">
        <v>51</v>
      </c>
    </row>
    <row r="7" ht="33.75" customHeight="1">
      <c r="A7" s="10" t="s">
        <v>15</v>
      </c>
      <c r="B7" s="10" t="s">
        <v>40</v>
      </c>
      <c r="C7" s="10" t="s">
        <v>53</v>
      </c>
      <c r="D7" s="10" t="s">
        <v>54</v>
      </c>
      <c r="E7" s="10" t="s">
        <v>55</v>
      </c>
    </row>
    <row r="8" ht="33.75" customHeight="1">
      <c r="A8" s="10" t="s">
        <v>15</v>
      </c>
      <c r="B8" s="10" t="s">
        <v>57</v>
      </c>
      <c r="C8" s="10" t="s">
        <v>58</v>
      </c>
      <c r="D8" s="10" t="s">
        <v>59</v>
      </c>
      <c r="E8" s="10" t="s">
        <v>60</v>
      </c>
    </row>
    <row r="9" ht="33.75" customHeight="1">
      <c r="A9" s="10" t="s">
        <v>19</v>
      </c>
      <c r="B9" s="10" t="s">
        <v>45</v>
      </c>
      <c r="C9" s="10" t="s">
        <v>46</v>
      </c>
      <c r="D9" s="10" t="s">
        <v>61</v>
      </c>
      <c r="E9" s="10" t="s">
        <v>48</v>
      </c>
    </row>
    <row r="10" ht="33.75" customHeight="1">
      <c r="A10" s="10" t="s">
        <v>19</v>
      </c>
      <c r="B10" s="10" t="s">
        <v>40</v>
      </c>
      <c r="C10" s="10" t="s">
        <v>49</v>
      </c>
      <c r="D10" s="10" t="s">
        <v>62</v>
      </c>
      <c r="E10" s="10" t="s">
        <v>63</v>
      </c>
    </row>
    <row r="11" ht="33.75" customHeight="1">
      <c r="A11" s="10" t="s">
        <v>19</v>
      </c>
      <c r="B11" s="10" t="s">
        <v>40</v>
      </c>
      <c r="C11" s="10" t="s">
        <v>53</v>
      </c>
      <c r="D11" s="10" t="s">
        <v>64</v>
      </c>
      <c r="E11" s="10" t="s">
        <v>55</v>
      </c>
    </row>
    <row r="12" ht="33.75" customHeight="1">
      <c r="A12" s="10" t="s">
        <v>19</v>
      </c>
      <c r="B12" s="10" t="s">
        <v>57</v>
      </c>
      <c r="C12" s="10" t="s">
        <v>58</v>
      </c>
      <c r="D12" s="10" t="s">
        <v>65</v>
      </c>
      <c r="E12" s="10" t="s">
        <v>60</v>
      </c>
    </row>
    <row r="13" ht="33.75" customHeight="1">
      <c r="A13" s="10" t="s">
        <v>25</v>
      </c>
      <c r="B13" s="10" t="s">
        <v>45</v>
      </c>
      <c r="C13" s="10" t="s">
        <v>46</v>
      </c>
      <c r="D13" s="10" t="s">
        <v>66</v>
      </c>
      <c r="E13" s="10" t="s">
        <v>48</v>
      </c>
    </row>
    <row r="14" ht="33.75" customHeight="1">
      <c r="A14" s="10" t="s">
        <v>25</v>
      </c>
      <c r="B14" s="10" t="s">
        <v>40</v>
      </c>
      <c r="C14" s="10" t="s">
        <v>49</v>
      </c>
      <c r="D14" s="10" t="s">
        <v>67</v>
      </c>
      <c r="E14" s="10" t="s">
        <v>68</v>
      </c>
    </row>
    <row r="15" ht="33.75" customHeight="1">
      <c r="A15" s="10" t="s">
        <v>25</v>
      </c>
      <c r="B15" s="10" t="s">
        <v>40</v>
      </c>
      <c r="C15" s="10" t="s">
        <v>53</v>
      </c>
      <c r="D15" s="10" t="s">
        <v>69</v>
      </c>
      <c r="E15" s="10" t="s">
        <v>55</v>
      </c>
    </row>
    <row r="16" ht="33.75" customHeight="1">
      <c r="A16" s="10" t="s">
        <v>25</v>
      </c>
      <c r="B16" s="10" t="s">
        <v>57</v>
      </c>
      <c r="C16" s="10" t="s">
        <v>58</v>
      </c>
      <c r="D16" s="10" t="s">
        <v>70</v>
      </c>
      <c r="E16" s="10" t="s">
        <v>60</v>
      </c>
    </row>
    <row r="17" ht="33.75" customHeight="1">
      <c r="A17" s="10" t="s">
        <v>28</v>
      </c>
      <c r="B17" s="10" t="s">
        <v>45</v>
      </c>
      <c r="C17" s="10" t="s">
        <v>46</v>
      </c>
      <c r="D17" s="10" t="s">
        <v>71</v>
      </c>
      <c r="E17" s="10" t="s">
        <v>48</v>
      </c>
    </row>
    <row r="18" ht="33.75" customHeight="1">
      <c r="A18" s="10" t="s">
        <v>28</v>
      </c>
      <c r="B18" s="10" t="s">
        <v>40</v>
      </c>
      <c r="C18" s="10" t="s">
        <v>49</v>
      </c>
      <c r="D18" s="10" t="s">
        <v>72</v>
      </c>
      <c r="E18" s="10" t="s">
        <v>68</v>
      </c>
    </row>
    <row r="19" ht="33.75" customHeight="1">
      <c r="A19" s="10" t="s">
        <v>28</v>
      </c>
      <c r="B19" s="10" t="s">
        <v>40</v>
      </c>
      <c r="C19" s="10" t="s">
        <v>53</v>
      </c>
      <c r="D19" s="10" t="s">
        <v>73</v>
      </c>
      <c r="E19" s="10" t="s">
        <v>55</v>
      </c>
    </row>
    <row r="20" ht="33.75" customHeight="1">
      <c r="A20" s="19" t="s">
        <v>28</v>
      </c>
      <c r="B20" s="19" t="s">
        <v>57</v>
      </c>
      <c r="C20" s="19" t="s">
        <v>58</v>
      </c>
      <c r="D20" s="19" t="s">
        <v>84</v>
      </c>
      <c r="E20" s="19" t="s">
        <v>60</v>
      </c>
    </row>
    <row r="21" ht="15.75" customHeight="1"/>
    <row r="22" ht="15.75" customHeight="1">
      <c r="A22" s="3" t="s">
        <v>86</v>
      </c>
      <c r="B22" s="5" t="s">
        <v>32</v>
      </c>
    </row>
    <row r="23" ht="15.75" customHeight="1">
      <c r="A23" s="6" t="s">
        <v>87</v>
      </c>
      <c r="B23" s="6" t="s">
        <v>88</v>
      </c>
    </row>
    <row r="24" ht="15.75" customHeight="1">
      <c r="A24" s="10" t="s">
        <v>89</v>
      </c>
      <c r="B24" s="10" t="s">
        <v>90</v>
      </c>
    </row>
    <row r="25" ht="15.75" customHeight="1">
      <c r="A25" s="19" t="s">
        <v>19</v>
      </c>
      <c r="B25" s="19" t="s">
        <v>93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